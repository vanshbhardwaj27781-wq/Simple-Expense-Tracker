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Tracker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'Expense Tracker'!$A$4:$F$33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.00"/>
  </numFmts>
  <fonts count="4">
    <font>
      <name val="Calibri"/>
      <family val="2"/>
      <color theme="1"/>
      <sz val="11"/>
      <scheme val="minor"/>
    </font>
    <font>
      <b val="1"/>
      <sz val="18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3" fillId="0" borderId="0" pivotButton="0" quotePrefix="0" xfId="0"/>
    <xf numFmtId="166" fontId="3" fillId="0" borderId="0" pivotButton="0" quotePrefix="0" xfId="0"/>
    <xf numFmtId="0" fontId="3" fillId="2" borderId="0" pivotButton="0" quotePrefix="0" xfId="0"/>
    <xf numFmtId="166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 Distribution by Category</a:t>
            </a:r>
          </a:p>
        </rich>
      </tx>
    </title>
    <plotArea>
      <pieChart>
        <varyColors val="1"/>
        <ser>
          <idx val="0"/>
          <order val="0"/>
          <tx>
            <strRef>
              <f>'Monthly Summary'!H4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Summary'!$G$5:$G$13</f>
            </numRef>
          </cat>
          <val>
            <numRef>
              <f>'Monthly Summary'!$H$5:$H$13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Expenses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Summary'!$A$5:$A$13</f>
            </numRef>
          </cat>
          <val>
            <numRef>
              <f>'Monthly Summary'!$B$5:$B$13</f>
            </numRef>
          </val>
        </ser>
        <ser>
          <idx val="1"/>
          <order val="1"/>
          <tx>
            <strRef>
              <f>'Monthly Summary'!C4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Summary'!$A$5:$A$13</f>
            </numRef>
          </cat>
          <val>
            <numRef>
              <f>'Monthly Summary'!$C$5:$C$13</f>
            </numRef>
          </val>
        </ser>
        <ser>
          <idx val="2"/>
          <order val="2"/>
          <tx>
            <strRef>
              <f>'Monthly Summary'!D4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Summary'!$A$5:$A$13</f>
            </numRef>
          </cat>
          <val>
            <numRef>
              <f>'Monthly Summary'!$D$5:$D$13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15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16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xpenseData" displayName="ExpenseData" ref="A4:F33" headerRowCount="1">
  <autoFilter ref="A4:F33"/>
  <tableColumns count="6">
    <tableColumn id="1" name="Date"/>
    <tableColumn id="2" name="Description"/>
    <tableColumn id="3" name="Category"/>
    <tableColumn id="4" name="Payment Method"/>
    <tableColumn id="5" name="Amount (₹)"/>
    <tableColumn id="6" name="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Simple Expense Tracker</t>
        </is>
      </c>
    </row>
    <row r="2">
      <c r="A2" s="2" t="inlineStr">
        <is>
          <t>Veda Technology – Data Analytics Track</t>
        </is>
      </c>
    </row>
    <row r="4">
      <c r="A4" s="3" t="inlineStr">
        <is>
          <t>Date</t>
        </is>
      </c>
      <c r="B4" s="3" t="inlineStr">
        <is>
          <t>Description</t>
        </is>
      </c>
      <c r="C4" s="3" t="inlineStr">
        <is>
          <t>Category</t>
        </is>
      </c>
      <c r="D4" s="3" t="inlineStr">
        <is>
          <t>Payment Method</t>
        </is>
      </c>
      <c r="E4" s="3" t="inlineStr">
        <is>
          <t>Amount (₹)</t>
        </is>
      </c>
      <c r="F4" s="3" t="inlineStr">
        <is>
          <t>Month</t>
        </is>
      </c>
    </row>
    <row r="5">
      <c r="A5" s="4" t="n">
        <v>46024</v>
      </c>
      <c r="B5" s="5" t="inlineStr">
        <is>
          <t>House Rent</t>
        </is>
      </c>
      <c r="C5" s="5" t="inlineStr">
        <is>
          <t>Housing</t>
        </is>
      </c>
      <c r="D5" s="5" t="inlineStr">
        <is>
          <t>Bank Transfer</t>
        </is>
      </c>
      <c r="E5" s="6" t="n">
        <v>9000</v>
      </c>
      <c r="F5" s="5">
        <f>TEXT(A5,"mmm-yyyy")</f>
        <v/>
      </c>
    </row>
    <row r="6">
      <c r="A6" s="4" t="n">
        <v>46026</v>
      </c>
      <c r="B6" s="5" t="inlineStr">
        <is>
          <t>Groceries</t>
        </is>
      </c>
      <c r="C6" s="5" t="inlineStr">
        <is>
          <t>Food</t>
        </is>
      </c>
      <c r="D6" s="5" t="inlineStr">
        <is>
          <t>UPI</t>
        </is>
      </c>
      <c r="E6" s="6" t="n">
        <v>1850</v>
      </c>
      <c r="F6" s="5">
        <f>TEXT(A6,"mmm-yyyy")</f>
        <v/>
      </c>
    </row>
    <row r="7">
      <c r="A7" s="4" t="n">
        <v>46029</v>
      </c>
      <c r="B7" s="5" t="inlineStr">
        <is>
          <t>Metro/Bus</t>
        </is>
      </c>
      <c r="C7" s="5" t="inlineStr">
        <is>
          <t>Transport</t>
        </is>
      </c>
      <c r="D7" s="5" t="inlineStr">
        <is>
          <t>UPI</t>
        </is>
      </c>
      <c r="E7" s="6" t="n">
        <v>620</v>
      </c>
      <c r="F7" s="5">
        <f>TEXT(A7,"mmm-yyyy")</f>
        <v/>
      </c>
    </row>
    <row r="8">
      <c r="A8" s="4" t="n">
        <v>46032</v>
      </c>
      <c r="B8" s="5" t="inlineStr">
        <is>
          <t>Mobile Recharge</t>
        </is>
      </c>
      <c r="C8" s="5" t="inlineStr">
        <is>
          <t>Bills</t>
        </is>
      </c>
      <c r="D8" s="5" t="inlineStr">
        <is>
          <t>UPI</t>
        </is>
      </c>
      <c r="E8" s="6" t="n">
        <v>399</v>
      </c>
      <c r="F8" s="5">
        <f>TEXT(A8,"mmm-yyyy")</f>
        <v/>
      </c>
    </row>
    <row r="9">
      <c r="A9" s="4" t="n">
        <v>46035</v>
      </c>
      <c r="B9" s="5" t="inlineStr">
        <is>
          <t>Internet Bill</t>
        </is>
      </c>
      <c r="C9" s="5" t="inlineStr">
        <is>
          <t>Bills</t>
        </is>
      </c>
      <c r="D9" s="5" t="inlineStr">
        <is>
          <t>UPI</t>
        </is>
      </c>
      <c r="E9" s="6" t="n">
        <v>599</v>
      </c>
      <c r="F9" s="5">
        <f>TEXT(A9,"mmm-yyyy")</f>
        <v/>
      </c>
    </row>
    <row r="10">
      <c r="A10" s="4" t="n">
        <v>46038</v>
      </c>
      <c r="B10" s="5" t="inlineStr">
        <is>
          <t>Lunch</t>
        </is>
      </c>
      <c r="C10" s="5" t="inlineStr">
        <is>
          <t>Food</t>
        </is>
      </c>
      <c r="D10" s="5" t="inlineStr">
        <is>
          <t>Cash</t>
        </is>
      </c>
      <c r="E10" s="6" t="n">
        <v>280</v>
      </c>
      <c r="F10" s="5">
        <f>TEXT(A10,"mmm-yyyy")</f>
        <v/>
      </c>
    </row>
    <row r="11">
      <c r="A11" s="4" t="n">
        <v>46042</v>
      </c>
      <c r="B11" s="5" t="inlineStr">
        <is>
          <t>Movie</t>
        </is>
      </c>
      <c r="C11" s="5" t="inlineStr">
        <is>
          <t>Entertainment</t>
        </is>
      </c>
      <c r="D11" s="5" t="inlineStr">
        <is>
          <t>UPI</t>
        </is>
      </c>
      <c r="E11" s="6" t="n">
        <v>450</v>
      </c>
      <c r="F11" s="5">
        <f>TEXT(A11,"mmm-yyyy")</f>
        <v/>
      </c>
    </row>
    <row r="12">
      <c r="A12" s="4" t="n">
        <v>46046</v>
      </c>
      <c r="B12" s="5" t="inlineStr">
        <is>
          <t>Medicines</t>
        </is>
      </c>
      <c r="C12" s="5" t="inlineStr">
        <is>
          <t>Health</t>
        </is>
      </c>
      <c r="D12" s="5" t="inlineStr">
        <is>
          <t>UPI</t>
        </is>
      </c>
      <c r="E12" s="6" t="n">
        <v>520</v>
      </c>
      <c r="F12" s="5">
        <f>TEXT(A12,"mmm-yyyy")</f>
        <v/>
      </c>
    </row>
    <row r="13">
      <c r="A13" s="4" t="n">
        <v>46049</v>
      </c>
      <c r="B13" s="5" t="inlineStr">
        <is>
          <t>Clothes</t>
        </is>
      </c>
      <c r="C13" s="5" t="inlineStr">
        <is>
          <t>Shopping</t>
        </is>
      </c>
      <c r="D13" s="5" t="inlineStr">
        <is>
          <t>Card</t>
        </is>
      </c>
      <c r="E13" s="6" t="n">
        <v>1200</v>
      </c>
      <c r="F13" s="5">
        <f>TEXT(A13,"mmm-yyyy")</f>
        <v/>
      </c>
    </row>
    <row r="14">
      <c r="A14" s="4" t="n">
        <v>46052</v>
      </c>
      <c r="B14" s="5" t="inlineStr">
        <is>
          <t>Electricity Bill</t>
        </is>
      </c>
      <c r="C14" s="5" t="inlineStr">
        <is>
          <t>Bills</t>
        </is>
      </c>
      <c r="D14" s="5" t="inlineStr">
        <is>
          <t>UPI</t>
        </is>
      </c>
      <c r="E14" s="6" t="n">
        <v>760</v>
      </c>
      <c r="F14" s="5">
        <f>TEXT(A14,"mmm-yyyy")</f>
        <v/>
      </c>
    </row>
    <row r="15">
      <c r="A15" s="4" t="n">
        <v>46055</v>
      </c>
      <c r="B15" s="5" t="inlineStr">
        <is>
          <t>House Rent</t>
        </is>
      </c>
      <c r="C15" s="5" t="inlineStr">
        <is>
          <t>Housing</t>
        </is>
      </c>
      <c r="D15" s="5" t="inlineStr">
        <is>
          <t>Bank Transfer</t>
        </is>
      </c>
      <c r="E15" s="6" t="n">
        <v>9000</v>
      </c>
      <c r="F15" s="5">
        <f>TEXT(A15,"mmm-yyyy")</f>
        <v/>
      </c>
    </row>
    <row r="16">
      <c r="A16" s="4" t="n">
        <v>46058</v>
      </c>
      <c r="B16" s="5" t="inlineStr">
        <is>
          <t>Groceries</t>
        </is>
      </c>
      <c r="C16" s="5" t="inlineStr">
        <is>
          <t>Food</t>
        </is>
      </c>
      <c r="D16" s="5" t="inlineStr">
        <is>
          <t>UPI</t>
        </is>
      </c>
      <c r="E16" s="6" t="n">
        <v>2100</v>
      </c>
      <c r="F16" s="5">
        <f>TEXT(A16,"mmm-yyyy")</f>
        <v/>
      </c>
    </row>
    <row r="17">
      <c r="A17" s="4" t="n">
        <v>46061</v>
      </c>
      <c r="B17" s="5" t="inlineStr">
        <is>
          <t>Fuel</t>
        </is>
      </c>
      <c r="C17" s="5" t="inlineStr">
        <is>
          <t>Transport</t>
        </is>
      </c>
      <c r="D17" s="5" t="inlineStr">
        <is>
          <t>UPI</t>
        </is>
      </c>
      <c r="E17" s="6" t="n">
        <v>900</v>
      </c>
      <c r="F17" s="5">
        <f>TEXT(A17,"mmm-yyyy")</f>
        <v/>
      </c>
    </row>
    <row r="18">
      <c r="A18" s="4" t="n">
        <v>46064</v>
      </c>
      <c r="B18" s="5" t="inlineStr">
        <is>
          <t>Mobile Recharge</t>
        </is>
      </c>
      <c r="C18" s="5" t="inlineStr">
        <is>
          <t>Bills</t>
        </is>
      </c>
      <c r="D18" s="5" t="inlineStr">
        <is>
          <t>UPI</t>
        </is>
      </c>
      <c r="E18" s="6" t="n">
        <v>399</v>
      </c>
      <c r="F18" s="5">
        <f>TEXT(A18,"mmm-yyyy")</f>
        <v/>
      </c>
    </row>
    <row r="19">
      <c r="A19" s="4" t="n">
        <v>46067</v>
      </c>
      <c r="B19" s="5" t="inlineStr">
        <is>
          <t>Restaurant</t>
        </is>
      </c>
      <c r="C19" s="5" t="inlineStr">
        <is>
          <t>Food</t>
        </is>
      </c>
      <c r="D19" s="5" t="inlineStr">
        <is>
          <t>UPI</t>
        </is>
      </c>
      <c r="E19" s="6" t="n">
        <v>650</v>
      </c>
      <c r="F19" s="5">
        <f>TEXT(A19,"mmm-yyyy")</f>
        <v/>
      </c>
    </row>
    <row r="20">
      <c r="A20" s="4" t="n">
        <v>46071</v>
      </c>
      <c r="B20" s="5" t="inlineStr">
        <is>
          <t>Gym Fee</t>
        </is>
      </c>
      <c r="C20" s="5" t="inlineStr">
        <is>
          <t>Health</t>
        </is>
      </c>
      <c r="D20" s="5" t="inlineStr">
        <is>
          <t>UPI</t>
        </is>
      </c>
      <c r="E20" s="6" t="n">
        <v>800</v>
      </c>
      <c r="F20" s="5">
        <f>TEXT(A20,"mmm-yyyy")</f>
        <v/>
      </c>
    </row>
    <row r="21">
      <c r="A21" s="4" t="n">
        <v>46074</v>
      </c>
      <c r="B21" s="5" t="inlineStr">
        <is>
          <t>Online Shopping</t>
        </is>
      </c>
      <c r="C21" s="5" t="inlineStr">
        <is>
          <t>Shopping</t>
        </is>
      </c>
      <c r="D21" s="5" t="inlineStr">
        <is>
          <t>Card</t>
        </is>
      </c>
      <c r="E21" s="6" t="n">
        <v>1450</v>
      </c>
      <c r="F21" s="5">
        <f>TEXT(A21,"mmm-yyyy")</f>
        <v/>
      </c>
    </row>
    <row r="22">
      <c r="A22" s="4" t="n">
        <v>46077</v>
      </c>
      <c r="B22" s="5" t="inlineStr">
        <is>
          <t>OTT Subscription</t>
        </is>
      </c>
      <c r="C22" s="5" t="inlineStr">
        <is>
          <t>Entertainment</t>
        </is>
      </c>
      <c r="D22" s="5" t="inlineStr">
        <is>
          <t>UPI</t>
        </is>
      </c>
      <c r="E22" s="6" t="n">
        <v>299</v>
      </c>
      <c r="F22" s="5">
        <f>TEXT(A22,"mmm-yyyy")</f>
        <v/>
      </c>
    </row>
    <row r="23">
      <c r="A23" s="4" t="n">
        <v>46080</v>
      </c>
      <c r="B23" s="5" t="inlineStr">
        <is>
          <t>Electricity Bill</t>
        </is>
      </c>
      <c r="C23" s="5" t="inlineStr">
        <is>
          <t>Bills</t>
        </is>
      </c>
      <c r="D23" s="5" t="inlineStr">
        <is>
          <t>UPI</t>
        </is>
      </c>
      <c r="E23" s="6" t="n">
        <v>820</v>
      </c>
      <c r="F23" s="5">
        <f>TEXT(A23,"mmm-yyyy")</f>
        <v/>
      </c>
    </row>
    <row r="24">
      <c r="A24" s="4" t="n">
        <v>46083</v>
      </c>
      <c r="B24" s="5" t="inlineStr">
        <is>
          <t>House Rent</t>
        </is>
      </c>
      <c r="C24" s="5" t="inlineStr">
        <is>
          <t>Housing</t>
        </is>
      </c>
      <c r="D24" s="5" t="inlineStr">
        <is>
          <t>Bank Transfer</t>
        </is>
      </c>
      <c r="E24" s="6" t="n">
        <v>9000</v>
      </c>
      <c r="F24" s="5">
        <f>TEXT(A24,"mmm-yyyy")</f>
        <v/>
      </c>
    </row>
    <row r="25">
      <c r="A25" s="4" t="n">
        <v>46086</v>
      </c>
      <c r="B25" s="5" t="inlineStr">
        <is>
          <t>Groceries</t>
        </is>
      </c>
      <c r="C25" s="5" t="inlineStr">
        <is>
          <t>Food</t>
        </is>
      </c>
      <c r="D25" s="5" t="inlineStr">
        <is>
          <t>UPI</t>
        </is>
      </c>
      <c r="E25" s="6" t="n">
        <v>1950</v>
      </c>
      <c r="F25" s="5">
        <f>TEXT(A25,"mmm-yyyy")</f>
        <v/>
      </c>
    </row>
    <row r="26">
      <c r="A26" s="4" t="n">
        <v>46090</v>
      </c>
      <c r="B26" s="5" t="inlineStr">
        <is>
          <t>Fuel</t>
        </is>
      </c>
      <c r="C26" s="5" t="inlineStr">
        <is>
          <t>Transport</t>
        </is>
      </c>
      <c r="D26" s="5" t="inlineStr">
        <is>
          <t>UPI</t>
        </is>
      </c>
      <c r="E26" s="6" t="n">
        <v>850</v>
      </c>
      <c r="F26" s="5">
        <f>TEXT(A26,"mmm-yyyy")</f>
        <v/>
      </c>
    </row>
    <row r="27">
      <c r="A27" s="4" t="n">
        <v>46093</v>
      </c>
      <c r="B27" s="5" t="inlineStr">
        <is>
          <t>Internet Bill</t>
        </is>
      </c>
      <c r="C27" s="5" t="inlineStr">
        <is>
          <t>Bills</t>
        </is>
      </c>
      <c r="D27" s="5" t="inlineStr">
        <is>
          <t>UPI</t>
        </is>
      </c>
      <c r="E27" s="6" t="n">
        <v>599</v>
      </c>
      <c r="F27" s="5">
        <f>TEXT(A27,"mmm-yyyy")</f>
        <v/>
      </c>
    </row>
    <row r="28">
      <c r="A28" s="4" t="n">
        <v>46096</v>
      </c>
      <c r="B28" s="5" t="inlineStr">
        <is>
          <t>College/Study Material</t>
        </is>
      </c>
      <c r="C28" s="5" t="inlineStr">
        <is>
          <t>Education</t>
        </is>
      </c>
      <c r="D28" s="5" t="inlineStr">
        <is>
          <t>UPI</t>
        </is>
      </c>
      <c r="E28" s="6" t="n">
        <v>750</v>
      </c>
      <c r="F28" s="5">
        <f>TEXT(A28,"mmm-yyyy")</f>
        <v/>
      </c>
    </row>
    <row r="29">
      <c r="A29" s="4" t="n">
        <v>46099</v>
      </c>
      <c r="B29" s="5" t="inlineStr">
        <is>
          <t>Lunch</t>
        </is>
      </c>
      <c r="C29" s="5" t="inlineStr">
        <is>
          <t>Food</t>
        </is>
      </c>
      <c r="D29" s="5" t="inlineStr">
        <is>
          <t>Cash</t>
        </is>
      </c>
      <c r="E29" s="6" t="n">
        <v>300</v>
      </c>
      <c r="F29" s="5">
        <f>TEXT(A29,"mmm-yyyy")</f>
        <v/>
      </c>
    </row>
    <row r="30">
      <c r="A30" s="4" t="n">
        <v>46103</v>
      </c>
      <c r="B30" s="5" t="inlineStr">
        <is>
          <t>Movie</t>
        </is>
      </c>
      <c r="C30" s="5" t="inlineStr">
        <is>
          <t>Entertainment</t>
        </is>
      </c>
      <c r="D30" s="5" t="inlineStr">
        <is>
          <t>UPI</t>
        </is>
      </c>
      <c r="E30" s="6" t="n">
        <v>500</v>
      </c>
      <c r="F30" s="5">
        <f>TEXT(A30,"mmm-yyyy")</f>
        <v/>
      </c>
    </row>
    <row r="31">
      <c r="A31" s="4" t="n">
        <v>46106</v>
      </c>
      <c r="B31" s="5" t="inlineStr">
        <is>
          <t>Medicines</t>
        </is>
      </c>
      <c r="C31" s="5" t="inlineStr">
        <is>
          <t>Health</t>
        </is>
      </c>
      <c r="D31" s="5" t="inlineStr">
        <is>
          <t>UPI</t>
        </is>
      </c>
      <c r="E31" s="6" t="n">
        <v>430</v>
      </c>
      <c r="F31" s="5">
        <f>TEXT(A31,"mmm-yyyy")</f>
        <v/>
      </c>
    </row>
    <row r="32">
      <c r="A32" s="4" t="n">
        <v>46109</v>
      </c>
      <c r="B32" s="5" t="inlineStr">
        <is>
          <t>Shoes</t>
        </is>
      </c>
      <c r="C32" s="5" t="inlineStr">
        <is>
          <t>Shopping</t>
        </is>
      </c>
      <c r="D32" s="5" t="inlineStr">
        <is>
          <t>Card</t>
        </is>
      </c>
      <c r="E32" s="6" t="n">
        <v>1800</v>
      </c>
      <c r="F32" s="5">
        <f>TEXT(A32,"mmm-yyyy")</f>
        <v/>
      </c>
    </row>
    <row r="33">
      <c r="A33" s="4" t="n">
        <v>46111</v>
      </c>
      <c r="B33" s="5" t="inlineStr">
        <is>
          <t>Electricity Bill</t>
        </is>
      </c>
      <c r="C33" s="5" t="inlineStr">
        <is>
          <t>Bills</t>
        </is>
      </c>
      <c r="D33" s="5" t="inlineStr">
        <is>
          <t>UPI</t>
        </is>
      </c>
      <c r="E33" s="6" t="n">
        <v>780</v>
      </c>
      <c r="F33" s="5">
        <f>TEXT(A33,"mmm-yyyy")</f>
        <v/>
      </c>
    </row>
    <row r="35">
      <c r="D35" s="7" t="inlineStr">
        <is>
          <t>Total Expenses</t>
        </is>
      </c>
      <c r="E35" s="8">
        <f>SUM(E5:E33)</f>
        <v/>
      </c>
    </row>
  </sheetData>
  <autoFilter ref="A4:F33"/>
  <dataValidations count="2">
    <dataValidation sqref="C5:C500" showDropDown="0" showInputMessage="0" showErrorMessage="0" allowBlank="1" type="list">
      <formula1>"Food,Transport,Housing,Bills,Entertainment,Health,Shopping,Education,Other"</formula1>
    </dataValidation>
    <dataValidation sqref="D5:D500" showDropDown="0" showInputMessage="0" showErrorMessage="0" allowBlank="1" type="list">
      <formula1>"UPI,Cash,Card,Bank Transfer"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Monthly Expense Summary</t>
        </is>
      </c>
    </row>
    <row r="2">
      <c r="A2" s="2" t="inlineStr">
        <is>
          <t>Expense totals by month and category</t>
        </is>
      </c>
    </row>
    <row r="4">
      <c r="A4" s="3" t="inlineStr">
        <is>
          <t>Category</t>
        </is>
      </c>
      <c r="B4" s="3" t="inlineStr">
        <is>
          <t>Jan-2026</t>
        </is>
      </c>
      <c r="C4" s="3" t="inlineStr">
        <is>
          <t>Feb-2026</t>
        </is>
      </c>
      <c r="D4" s="3" t="inlineStr">
        <is>
          <t>Mar-2026</t>
        </is>
      </c>
      <c r="E4" s="3" t="inlineStr">
        <is>
          <t>3-Month Total</t>
        </is>
      </c>
      <c r="G4" s="9" t="inlineStr">
        <is>
          <t>Category</t>
        </is>
      </c>
      <c r="H4" s="9" t="inlineStr">
        <is>
          <t>3-Month Total</t>
        </is>
      </c>
    </row>
    <row r="5">
      <c r="A5" t="inlineStr">
        <is>
          <t>Food</t>
        </is>
      </c>
      <c r="B5" s="10">
        <f>SUMIFS('Expense Tracker'!$E$5:$E$33,'Expense Tracker'!$C$5:$C$33,$A5,'Expense Tracker'!$F$5:$F$33,B$4)</f>
        <v/>
      </c>
      <c r="C5" s="10">
        <f>SUMIFS('Expense Tracker'!$E$5:$E$33,'Expense Tracker'!$C$5:$C$33,$A5,'Expense Tracker'!$F$5:$F$33,C$4)</f>
        <v/>
      </c>
      <c r="D5" s="10">
        <f>SUMIFS('Expense Tracker'!$E$5:$E$33,'Expense Tracker'!$C$5:$C$33,$A5,'Expense Tracker'!$F$5:$F$33,D$4)</f>
        <v/>
      </c>
      <c r="E5" s="10">
        <f>SUM(B5:D5)</f>
        <v/>
      </c>
      <c r="G5" t="inlineStr">
        <is>
          <t>Food</t>
        </is>
      </c>
      <c r="H5" s="10">
        <f>E5</f>
        <v/>
      </c>
    </row>
    <row r="6">
      <c r="A6" t="inlineStr">
        <is>
          <t>Transport</t>
        </is>
      </c>
      <c r="B6" s="10">
        <f>SUMIFS('Expense Tracker'!$E$5:$E$33,'Expense Tracker'!$C$5:$C$33,$A6,'Expense Tracker'!$F$5:$F$33,B$4)</f>
        <v/>
      </c>
      <c r="C6" s="10">
        <f>SUMIFS('Expense Tracker'!$E$5:$E$33,'Expense Tracker'!$C$5:$C$33,$A6,'Expense Tracker'!$F$5:$F$33,C$4)</f>
        <v/>
      </c>
      <c r="D6" s="10">
        <f>SUMIFS('Expense Tracker'!$E$5:$E$33,'Expense Tracker'!$C$5:$C$33,$A6,'Expense Tracker'!$F$5:$F$33,D$4)</f>
        <v/>
      </c>
      <c r="E6" s="10">
        <f>SUM(B6:D6)</f>
        <v/>
      </c>
      <c r="G6" t="inlineStr">
        <is>
          <t>Transport</t>
        </is>
      </c>
      <c r="H6" s="10">
        <f>E6</f>
        <v/>
      </c>
    </row>
    <row r="7">
      <c r="A7" t="inlineStr">
        <is>
          <t>Housing</t>
        </is>
      </c>
      <c r="B7" s="10">
        <f>SUMIFS('Expense Tracker'!$E$5:$E$33,'Expense Tracker'!$C$5:$C$33,$A7,'Expense Tracker'!$F$5:$F$33,B$4)</f>
        <v/>
      </c>
      <c r="C7" s="10">
        <f>SUMIFS('Expense Tracker'!$E$5:$E$33,'Expense Tracker'!$C$5:$C$33,$A7,'Expense Tracker'!$F$5:$F$33,C$4)</f>
        <v/>
      </c>
      <c r="D7" s="10">
        <f>SUMIFS('Expense Tracker'!$E$5:$E$33,'Expense Tracker'!$C$5:$C$33,$A7,'Expense Tracker'!$F$5:$F$33,D$4)</f>
        <v/>
      </c>
      <c r="E7" s="10">
        <f>SUM(B7:D7)</f>
        <v/>
      </c>
      <c r="G7" t="inlineStr">
        <is>
          <t>Housing</t>
        </is>
      </c>
      <c r="H7" s="10">
        <f>E7</f>
        <v/>
      </c>
    </row>
    <row r="8">
      <c r="A8" t="inlineStr">
        <is>
          <t>Bills</t>
        </is>
      </c>
      <c r="B8" s="10">
        <f>SUMIFS('Expense Tracker'!$E$5:$E$33,'Expense Tracker'!$C$5:$C$33,$A8,'Expense Tracker'!$F$5:$F$33,B$4)</f>
        <v/>
      </c>
      <c r="C8" s="10">
        <f>SUMIFS('Expense Tracker'!$E$5:$E$33,'Expense Tracker'!$C$5:$C$33,$A8,'Expense Tracker'!$F$5:$F$33,C$4)</f>
        <v/>
      </c>
      <c r="D8" s="10">
        <f>SUMIFS('Expense Tracker'!$E$5:$E$33,'Expense Tracker'!$C$5:$C$33,$A8,'Expense Tracker'!$F$5:$F$33,D$4)</f>
        <v/>
      </c>
      <c r="E8" s="10">
        <f>SUM(B8:D8)</f>
        <v/>
      </c>
      <c r="G8" t="inlineStr">
        <is>
          <t>Bills</t>
        </is>
      </c>
      <c r="H8" s="10">
        <f>E8</f>
        <v/>
      </c>
    </row>
    <row r="9">
      <c r="A9" t="inlineStr">
        <is>
          <t>Entertainment</t>
        </is>
      </c>
      <c r="B9" s="10">
        <f>SUMIFS('Expense Tracker'!$E$5:$E$33,'Expense Tracker'!$C$5:$C$33,$A9,'Expense Tracker'!$F$5:$F$33,B$4)</f>
        <v/>
      </c>
      <c r="C9" s="10">
        <f>SUMIFS('Expense Tracker'!$E$5:$E$33,'Expense Tracker'!$C$5:$C$33,$A9,'Expense Tracker'!$F$5:$F$33,C$4)</f>
        <v/>
      </c>
      <c r="D9" s="10">
        <f>SUMIFS('Expense Tracker'!$E$5:$E$33,'Expense Tracker'!$C$5:$C$33,$A9,'Expense Tracker'!$F$5:$F$33,D$4)</f>
        <v/>
      </c>
      <c r="E9" s="10">
        <f>SUM(B9:D9)</f>
        <v/>
      </c>
      <c r="G9" t="inlineStr">
        <is>
          <t>Entertainment</t>
        </is>
      </c>
      <c r="H9" s="10">
        <f>E9</f>
        <v/>
      </c>
    </row>
    <row r="10">
      <c r="A10" t="inlineStr">
        <is>
          <t>Health</t>
        </is>
      </c>
      <c r="B10" s="10">
        <f>SUMIFS('Expense Tracker'!$E$5:$E$33,'Expense Tracker'!$C$5:$C$33,$A10,'Expense Tracker'!$F$5:$F$33,B$4)</f>
        <v/>
      </c>
      <c r="C10" s="10">
        <f>SUMIFS('Expense Tracker'!$E$5:$E$33,'Expense Tracker'!$C$5:$C$33,$A10,'Expense Tracker'!$F$5:$F$33,C$4)</f>
        <v/>
      </c>
      <c r="D10" s="10">
        <f>SUMIFS('Expense Tracker'!$E$5:$E$33,'Expense Tracker'!$C$5:$C$33,$A10,'Expense Tracker'!$F$5:$F$33,D$4)</f>
        <v/>
      </c>
      <c r="E10" s="10">
        <f>SUM(B10:D10)</f>
        <v/>
      </c>
      <c r="G10" t="inlineStr">
        <is>
          <t>Health</t>
        </is>
      </c>
      <c r="H10" s="10">
        <f>E10</f>
        <v/>
      </c>
    </row>
    <row r="11">
      <c r="A11" t="inlineStr">
        <is>
          <t>Shopping</t>
        </is>
      </c>
      <c r="B11" s="10">
        <f>SUMIFS('Expense Tracker'!$E$5:$E$33,'Expense Tracker'!$C$5:$C$33,$A11,'Expense Tracker'!$F$5:$F$33,B$4)</f>
        <v/>
      </c>
      <c r="C11" s="10">
        <f>SUMIFS('Expense Tracker'!$E$5:$E$33,'Expense Tracker'!$C$5:$C$33,$A11,'Expense Tracker'!$F$5:$F$33,C$4)</f>
        <v/>
      </c>
      <c r="D11" s="10">
        <f>SUMIFS('Expense Tracker'!$E$5:$E$33,'Expense Tracker'!$C$5:$C$33,$A11,'Expense Tracker'!$F$5:$F$33,D$4)</f>
        <v/>
      </c>
      <c r="E11" s="10">
        <f>SUM(B11:D11)</f>
        <v/>
      </c>
      <c r="G11" t="inlineStr">
        <is>
          <t>Shopping</t>
        </is>
      </c>
      <c r="H11" s="10">
        <f>E11</f>
        <v/>
      </c>
    </row>
    <row r="12">
      <c r="A12" t="inlineStr">
        <is>
          <t>Education</t>
        </is>
      </c>
      <c r="B12" s="10">
        <f>SUMIFS('Expense Tracker'!$E$5:$E$33,'Expense Tracker'!$C$5:$C$33,$A12,'Expense Tracker'!$F$5:$F$33,B$4)</f>
        <v/>
      </c>
      <c r="C12" s="10">
        <f>SUMIFS('Expense Tracker'!$E$5:$E$33,'Expense Tracker'!$C$5:$C$33,$A12,'Expense Tracker'!$F$5:$F$33,C$4)</f>
        <v/>
      </c>
      <c r="D12" s="10">
        <f>SUMIFS('Expense Tracker'!$E$5:$E$33,'Expense Tracker'!$C$5:$C$33,$A12,'Expense Tracker'!$F$5:$F$33,D$4)</f>
        <v/>
      </c>
      <c r="E12" s="10">
        <f>SUM(B12:D12)</f>
        <v/>
      </c>
      <c r="G12" t="inlineStr">
        <is>
          <t>Education</t>
        </is>
      </c>
      <c r="H12" s="10">
        <f>E12</f>
        <v/>
      </c>
    </row>
    <row r="13">
      <c r="A13" t="inlineStr">
        <is>
          <t>Other</t>
        </is>
      </c>
      <c r="B13" s="10">
        <f>SUMIFS('Expense Tracker'!$E$5:$E$33,'Expense Tracker'!$C$5:$C$33,$A13,'Expense Tracker'!$F$5:$F$33,B$4)</f>
        <v/>
      </c>
      <c r="C13" s="10">
        <f>SUMIFS('Expense Tracker'!$E$5:$E$33,'Expense Tracker'!$C$5:$C$33,$A13,'Expense Tracker'!$F$5:$F$33,C$4)</f>
        <v/>
      </c>
      <c r="D13" s="10">
        <f>SUMIFS('Expense Tracker'!$E$5:$E$33,'Expense Tracker'!$C$5:$C$33,$A13,'Expense Tracker'!$F$5:$F$33,D$4)</f>
        <v/>
      </c>
      <c r="E13" s="10">
        <f>SUM(B13:D13)</f>
        <v/>
      </c>
      <c r="G13" t="inlineStr">
        <is>
          <t>Other</t>
        </is>
      </c>
      <c r="H13" s="10">
        <f>E13</f>
        <v/>
      </c>
    </row>
    <row r="14">
      <c r="A14" s="7" t="inlineStr">
        <is>
          <t>Total</t>
        </is>
      </c>
      <c r="B14" s="8">
        <f>SUM(B5:B13)</f>
        <v/>
      </c>
      <c r="C14" s="8">
        <f>SUM(C5:C13)</f>
        <v/>
      </c>
      <c r="D14" s="8">
        <f>SUM(D5:D13)</f>
        <v/>
      </c>
      <c r="E14" s="8">
        <f>SUM(E5:E13)</f>
        <v/>
      </c>
    </row>
  </sheetData>
  <conditionalFormatting sqref="B5:E13">
    <cfRule type="colorScale" priority="1">
      <colorScale>
        <cfvo type="min"/>
        <cfvo type="percentile" val="50"/>
        <cfvo type="max"/>
        <color rgb="00FFFFFF"/>
        <color rgb="00FFF2CC"/>
        <color rgb="00F4CCCC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1" t="inlineStr">
        <is>
          <t>Project Notes – Simple Expense Tracker</t>
        </is>
      </c>
      <c r="B1" s="12" t="n"/>
    </row>
    <row r="2">
      <c r="A2" s="12" t="n"/>
      <c r="B2" s="12" t="n"/>
    </row>
    <row r="3">
      <c r="A3" s="13" t="inlineStr">
        <is>
          <t>Objective</t>
        </is>
      </c>
      <c r="B3" s="12" t="inlineStr">
        <is>
          <t>Build a monthly personal/business expense summary and practice categorization and totals.</t>
        </is>
      </c>
    </row>
    <row r="4">
      <c r="A4" s="13" t="inlineStr">
        <is>
          <t>Tools</t>
        </is>
      </c>
      <c r="B4" s="12" t="inlineStr">
        <is>
          <t>Microsoft Excel</t>
        </is>
      </c>
    </row>
    <row r="5">
      <c r="A5" s="13" t="inlineStr">
        <is>
          <t>Deliverables</t>
        </is>
      </c>
      <c r="B5" s="12" t="inlineStr">
        <is>
          <t>Expense tracker + monthly summary + category analysis</t>
        </is>
      </c>
    </row>
    <row r="6">
      <c r="A6" s="12" t="n"/>
      <c r="B6" s="12" t="n"/>
    </row>
    <row r="7">
      <c r="A7" s="13" t="inlineStr">
        <is>
          <t>How to use</t>
        </is>
      </c>
      <c r="B7" s="12" t="inlineStr">
        <is>
          <t>Enter Date, Description, Category, Payment Method and Amount in the Expense Tracker. The Month column and Monthly Summary update through formulas.</t>
        </is>
      </c>
    </row>
    <row r="8">
      <c r="A8" s="12" t="n"/>
      <c r="B8" s="12" t="n"/>
    </row>
    <row r="9">
      <c r="A9" s="13" t="inlineStr">
        <is>
          <t>Interview Question 1</t>
        </is>
      </c>
      <c r="B9" s="12" t="inlineStr">
        <is>
          <t>Fixed vs variable expense?</t>
        </is>
      </c>
    </row>
    <row r="10">
      <c r="A10" s="13" t="inlineStr">
        <is>
          <t>Answer</t>
        </is>
      </c>
      <c r="B10" s="12" t="inlineStr">
        <is>
          <t>Fixed expenses usually stay similar each month, such as rent. Variable expenses change based on usage or needs, such as groceries, fuel and entertainment.</t>
        </is>
      </c>
    </row>
    <row r="11">
      <c r="A11" s="12" t="n"/>
      <c r="B11" s="12" t="n"/>
    </row>
    <row r="12">
      <c r="A12" s="13" t="inlineStr">
        <is>
          <t>Interview Question 2</t>
        </is>
      </c>
      <c r="B12" s="12" t="inlineStr">
        <is>
          <t>Why categorize expenses?</t>
        </is>
      </c>
    </row>
    <row r="13">
      <c r="A13" s="13" t="inlineStr">
        <is>
          <t>Answer</t>
        </is>
      </c>
      <c r="B13" s="12" t="inlineStr">
        <is>
          <t>Categorizing expenses makes it easier to see where money is going, compare spending across months and identify areas where spending can be controlled.</t>
        </is>
      </c>
    </row>
    <row r="14">
      <c r="A14" s="12" t="n"/>
      <c r="B14" s="12" t="n"/>
    </row>
    <row r="15">
      <c r="A15" s="13" t="inlineStr">
        <is>
          <t>Validation</t>
        </is>
      </c>
      <c r="B15" s="12" t="inlineStr">
        <is>
          <t>Totals are formula-based and the category/payment fields include dropdown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2026-09-26T04:40:30Z</dcterms:created>
  <dcterms:modified xmlns:dcterms="http://purl.org/dc/terms/" xmlns:xsi="http://www.w3.org/2001/XMLSchema-instance" xsi:type="dcterms:W3CDTF">2026-09-26T04:40:30Z</dcterms:modified>
</cp:coreProperties>
</file>